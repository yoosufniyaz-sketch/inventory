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DC-PTC-AT-26-01" sheetId="1" r:id="rIdS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<sst xmlns="http://schemas.openxmlformats.org/spreadsheetml/2006/main" count="42" uniqueCount="42">
  <si>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Statement of Petty Cash  Reimbursed</t>
  </si>
  <si>
    <t xml:space="preserve">Last update date:</t>
  </si>
  <si>
    <t xml:space="preserve">Last Replenished Date: </t>
  </si>
  <si>
    <t xml:space="preserve">PETTY CASH RECONCILIATION STATEMENT</t>
  </si>
  <si>
    <t xml:space="preserve">#</t>
  </si>
  <si>
    <t xml:space="preserve">Supplier</t>
  </si>
  <si>
    <t xml:space="preserve">Date</t>
  </si>
  <si>
    <t xml:space="preserve">Bill Num</t>
  </si>
  <si>
    <t xml:space="preserve">Voucher Number</t>
  </si>
  <si>
    <t xml:space="preserve">Details</t>
  </si>
  <si>
    <t xml:space="preserve">Department</t>
  </si>
  <si>
    <t xml:space="preserve">Refreshments</t>
  </si>
  <si>
    <t xml:space="preserve">Repair Work</t>
  </si>
  <si>
    <t xml:space="preserve">Email &amp; Software Subscriptions</t>
  </si>
  <si>
    <t xml:space="preserve">App Purchase</t>
  </si>
  <si>
    <t xml:space="preserve">Bank Charges</t>
  </si>
  <si>
    <t xml:space="preserve">Staff Visa / Work Permit</t>
  </si>
  <si>
    <t xml:space="preserve">Travel Arrangements</t>
  </si>
  <si>
    <t xml:space="preserve">Printing &amp; Office Supplies</t>
  </si>
  <si>
    <t xml:space="preserve">Garbage Disposal</t>
  </si>
  <si>
    <t xml:space="preserve">Fuel</t>
  </si>
  <si>
    <t xml:space="preserve">Postage &amp; Delivery</t>
  </si>
  <si>
    <t xml:space="preserve">Small tool</t>
  </si>
  <si>
    <t xml:space="preserve">Total</t>
  </si>
  <si>
    <t xml:space="preserve">Balance B/F</t>
  </si>
  <si>
    <t xml:space="preserve">Last Period Replenished Amount (Cash Used)</t>
  </si>
  <si>
    <t xml:space="preserve">Total Balance C/D</t>
  </si>
  <si>
    <t xml:space="preserve">Cash Used</t>
  </si>
  <si>
    <t xml:space="preserve">Amount to Replenish (Amount Used)</t>
  </si>
  <si>
    <t xml:space="preserve">Cash Balance</t>
  </si>
  <si>
    <t xml:space="preserve">Cash at hand</t>
  </si>
  <si>
    <t xml:space="preserve">Pending replenishment </t>
  </si>
  <si>
    <t xml:space="preserve">Total Cash Balance</t>
  </si>
  <si>
    <t xml:space="preserve">CASH AT HAND:</t>
  </si>
  <si>
    <t xml:space="preserve">DENOMINATION</t>
  </si>
  <si>
    <t xml:space="preserve">QUANTITY</t>
  </si>
  <si>
    <t xml:space="preserve">TOTAL MVR</t>
  </si>
  <si>
    <t xml:space="preserve">TOTAL</t>
  </si>
  <si>
    <t xml:space="preserve">Petty Cash custodian:                                                                                                             
Name: Shafza Hassan
Sign: 
Date: </t>
  </si>
  <si>
    <t xml:space="preserve">Checked By (Finance):
Name:
Sign:
Date:</t>
  </si>
  <si>
    <t xml:space="preserve">Approved By (Finance):
Name: 
Sign:
Date:</t>
  </si>
  <si>
    <t xml:space="preserve">HOD:
Name: Fathimath Sama
Sign: 
Date: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</si>
</sst>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* #,##0.00_);_(* \(#,##0.00\);_(* \-??_);_(@_)"/>
    <numFmt numFmtId="166" formatCode="[$-409]d\-mmm\-yyyy;@"/>
    <numFmt numFmtId="167" formatCode="0"/>
    <numFmt numFmtId="168" formatCode="m/d/yyyy"/>
    <numFmt numFmtId="169" formatCode="[$-409]dd\-mmm\-yy;@"/>
    <numFmt numFmtId="170" formatCode="General"/>
    <numFmt numFmtId="171" formatCode="0_);\-0_)"/>
  </numFmts>
  <fonts count="32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22"/>
      <color rgb="FF000000"/>
      <name val="Arial"/>
      <family val="2"/>
      <charset val="1"/>
    </font>
    <font>
      <sz val="16"/>
      <color rgb="FF262626"/>
      <name val="Arial"/>
      <family val="2"/>
      <charset val="1"/>
    </font>
    <font>
      <b val="true"/>
      <sz val="16"/>
      <color rgb="FF262626"/>
      <name val="Arial"/>
      <family val="2"/>
      <charset val="1"/>
    </font>
    <font>
      <b val="true"/>
      <sz val="16"/>
      <color rgb="FFFF0000"/>
      <name val="Arial"/>
      <family val="2"/>
      <charset val="1"/>
    </font>
    <font>
      <sz val="16"/>
      <color theme="1"/>
      <name val="Arial"/>
      <family val="2"/>
      <charset val="1"/>
    </font>
    <font>
      <b val="true"/>
      <sz val="16"/>
      <color rgb="FF000000"/>
      <name val="Arial"/>
      <family val="2"/>
      <charset val="1"/>
    </font>
    <font>
      <b val="true"/>
      <u val="single"/>
      <sz val="16"/>
      <color rgb="FF262626"/>
      <name val="Arial"/>
      <family val="2"/>
      <charset val="1"/>
    </font>
    <font>
      <u val="single"/>
      <sz val="16"/>
      <color rgb="FF262626"/>
      <name val="Arial"/>
      <family val="2"/>
      <charset val="1"/>
    </font>
    <font>
      <b val="true"/>
      <sz val="16"/>
      <color theme="1"/>
      <name val="Arial"/>
      <family val="2"/>
      <charset val="1"/>
    </font>
    <font>
      <sz val="18"/>
      <color rgb="FF000000"/>
      <name val="Aptos Display"/>
      <family val="2"/>
      <charset val="1"/>
    </font>
    <font>
      <sz val="18"/>
      <color rgb="FF262626"/>
      <name val="Aptos Display"/>
      <family val="2"/>
      <charset val="1"/>
    </font>
    <font>
      <sz val="18"/>
      <color theme="1"/>
      <name val="Aptos Display"/>
      <family val="2"/>
      <charset val="1"/>
    </font>
    <font>
      <b val="true"/>
      <sz val="16"/>
      <color rgb="FFFFFFFF"/>
      <name val="Arial"/>
      <family val="2"/>
      <charset val="1"/>
    </font>
    <font>
      <b val="true"/>
      <sz val="16"/>
      <color theme="0"/>
      <name val="Arial"/>
      <family val="2"/>
      <charset val="1"/>
    </font>
    <font>
      <b val="true"/>
      <sz val="16"/>
      <color rgb="FF00B050"/>
      <name val="Arial"/>
      <family val="2"/>
      <charset val="1"/>
    </font>
    <font>
      <sz val="16"/>
      <color rgb="FFFF0000"/>
      <name val="Arial"/>
      <family val="2"/>
      <charset val="1"/>
    </font>
    <font>
      <sz val="18"/>
      <color theme="1"/>
      <name val="Aptos Narrow"/>
      <family val="2"/>
      <charset val="1"/>
    </font>
    <font>
      <sz val="16"/>
      <color theme="1"/>
      <name val="Aptos Display"/>
      <family val="2"/>
      <charset val="1"/>
    </font>
    <font>
      <b val="true"/>
      <sz val="16"/>
      <color rgb="FFED7D31"/>
      <name val="Arial"/>
      <family val="2"/>
      <charset val="1"/>
    </font>
    <font>
      <sz val="18"/>
      <color rgb="FF000000"/>
      <name val="Aptos Display"/>
      <family val="0"/>
      <charset val="1"/>
    </font>
    <font>
      <sz val="16"/>
      <color rgb="FF000000"/>
      <name val="Arial"/>
      <family val="2"/>
      <charset val="1"/>
    </font>
    <font>
      <sz val="18"/>
      <color rgb="FF262626"/>
      <name val="Arial"/>
      <family val="2"/>
      <charset val="1"/>
    </font>
    <font>
      <sz val="16"/>
      <color rgb="FFED7D31"/>
      <name val="Arial"/>
      <family val="2"/>
      <charset val="1"/>
    </font>
    <font>
      <sz val="18"/>
      <color rgb="FF000000"/>
      <name val="Arial"/>
      <family val="2"/>
      <charset val="1"/>
    </font>
    <font>
      <sz val="16"/>
      <color theme="1"/>
      <name val="Aptos Narrow"/>
      <family val="2"/>
      <charset val="1"/>
    </font>
    <font>
      <b val="true"/>
      <sz val="18"/>
      <color rgb="FF262626"/>
      <name val="Arial"/>
      <family val="2"/>
      <charset val="1"/>
    </font>
    <font>
      <b val="true"/>
      <sz val="20"/>
      <color theme="1"/>
      <name val="Aptos Display"/>
      <family val="0"/>
      <charset val="1"/>
    </font>
    <font>
      <b val="true"/>
      <sz val="20"/>
      <color rgb="FF262626"/>
      <name val="Aptos Display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theme="5"/>
        <bgColor rgb="FFED7D31"/>
      </patternFill>
    </fill>
    <fill>
      <patternFill patternType="solid">
        <fgColor rgb="FFFFFFFF"/>
        <bgColor rgb="FFE7E6E6"/>
      </patternFill>
    </fill>
    <fill>
      <patternFill patternType="solid">
        <fgColor rgb="FF92D050"/>
        <bgColor rgb="FFC0C0C0"/>
      </patternFill>
    </fill>
    <fill>
      <patternFill patternType="solid">
        <fgColor rgb="FFE7E6E6"/>
        <bgColor rgb="FFD9D9D9"/>
      </patternFill>
    </fill>
    <fill>
      <patternFill patternType="solid">
        <fgColor theme="0" tint="-0.15"/>
        <bgColor rgb="FFE7E6E6"/>
      </patternFill>
    </fill>
    <fill>
      <patternFill patternType="solid">
        <fgColor theme="4"/>
        <bgColor rgb="FF008080"/>
      </patternFill>
    </fill>
    <fill>
      <patternFill patternType="none"/>
    </fill>
    <fill>
      <patternFill patternType="solid">
        <fgColor rgb="FFFF0000"/>
        <bgColor rgb="FF993300"/>
      </patternFill>
    </fill>
    <fill>
      <patternFill patternType="solid">
        <fgColor theme="1"/>
        <bgColor rgb="FF262626"/>
      </patternFill>
    </fill>
    <fill>
      <patternFill patternType="solid">
        <fgColor theme="4" tint="0.7999"/>
        <bgColor rgb="FFD9D9D9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3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9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3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2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9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0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1E5F5"/>
      <rgbColor rgb="FF660066"/>
      <rgbColor rgb="FFED7D31"/>
      <rgbColor rgb="FF145F82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E87331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4" Type="http://schemas.openxmlformats.org/officeDocument/2006/relationships/sharedStrings" Target="sharedStrings.xml"/>
<Relationship Id="rIdS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true"/>
  </sheetPr>
  <dimension ref="A1:AB54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.28"/>
    <col collapsed="false" customWidth="true" hidden="false" outlineLevel="0" max="2" min="2" style="0" width="38.43"/>
    <col collapsed="false" customWidth="true" hidden="false" outlineLevel="0" max="3" min="3" style="0" width="35.71"/>
    <col collapsed="false" customWidth="true" hidden="false" outlineLevel="0" max="4" min="4" style="0" width="39.14"/>
    <col collapsed="false" customWidth="true" hidden="false" outlineLevel="0" max="5" min="5" style="0" width="28.86"/>
    <col collapsed="false" customWidth="true" hidden="false" outlineLevel="0" max="6" min="6" style="0" width="62.86"/>
    <col collapsed="false" customWidth="true" hidden="false" outlineLevel="0" max="7" min="7" style="0" width="25.14"/>
    <col collapsed="false" customWidth="1" outlineLevel="0" max="8" min="8" style="0" width="28.29"/>
    <col collapsed="false" customWidth="1" outlineLevel="0" max="9" min="9" style="0" width="28.29"/>
    <col collapsed="false" customWidth="true" hidden="true" outlineLevel="0" max="10" min="10" style="0" width="28.57"/>
    <col collapsed="false" customWidth="true" hidden="true" outlineLevel="0" max="11" min="11" style="0" width="18.29"/>
    <col collapsed="false" customWidth="true" hidden="true" outlineLevel="0" max="12" min="12" style="0" width="24"/>
    <col collapsed="false" customWidth="true" hidden="true" outlineLevel="0" max="13" min="13" style="0" width="25.71"/>
    <col collapsed="false" customWidth="1" outlineLevel="0" max="14" min="14" style="0" width="28.29"/>
    <col collapsed="false" customWidth="1" outlineLevel="0" max="15" min="15" style="0" width="28.29"/>
    <col collapsed="false" customWidth="1" outlineLevel="0" max="17" min="16" style="0" width="28.29"/>
    <col collapsed="false" customWidth="true" hidden="true" outlineLevel="0" max="18" min="18" style="0" width="26.57"/>
    <col collapsed="false" customWidth="1" outlineLevel="0" max="19" min="19" style="0" width="28.29"/>
    <col collapsed="false" customWidth="true" hidden="false" outlineLevel="0" max="20" min="20" style="0" width="34"/>
    <col collapsed="false" customWidth="true" hidden="false" outlineLevel="0" max="21" min="21" style="0" width="16.86"/>
    <col collapsed="false" customWidth="true" hidden="false" outlineLevel="0" max="22" min="22" style="0" width="34"/>
    <col collapsed="false" customWidth="true" hidden="false" outlineLevel="0" max="23" min="23" style="0" width="31"/>
    <col collapsed="false" customWidth="true" hidden="false" outlineLevel="0" max="24" min="24" style="0" width="38.57"/>
    <col collapsed="false" customWidth="true" hidden="false" outlineLevel="0" max="26" min="26" style="0" width="23.71"/>
    <col collapsed="false" customWidth="true" hidden="false" outlineLevel="0" max="27" min="27" style="0" width="7.14"/>
    <col collapsed="false" customWidth="true" hidden="false" outlineLevel="0" max="28" min="28" style="0" width="29.43"/>
  </cols>
  <sheetData>
    <row r="1" customFormat="false" ht="26.8" hidden="false" customHeight="false" outlineLevel="0" collapsed="false">
      <c r="A1" s="1" t="inlineStr">
        <is>
          <t xml:space="preserve">Statement of Petty Cash  Reimbursed – Apollo Tower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2"/>
      <c r="W1" s="3"/>
      <c r="X1" s="2"/>
      <c r="Y1" s="2"/>
      <c r="Z1" s="2"/>
      <c r="AA1" s="2"/>
      <c r="AB1" s="2"/>
    </row>
    <row r="2" customFormat="false" ht="19.7" hidden="false" customHeight="false" outlineLevel="0" collapsed="false">
      <c r="A2" s="4"/>
      <c r="B2" s="5" t="s">
        <v>1</v>
      </c>
      <c r="C2" s="6" t="n">
        <f aca="true">TODAY()</f>
        <v>46304</v>
      </c>
      <c r="D2" s="7"/>
      <c r="E2" s="8"/>
      <c r="F2" s="9"/>
      <c r="G2" s="9"/>
      <c r="H2" s="9"/>
      <c r="I2" s="9"/>
      <c r="J2" s="9"/>
      <c r="K2" s="10"/>
      <c r="L2" s="10"/>
      <c r="M2" s="10"/>
      <c r="N2" s="10"/>
      <c r="O2" s="8"/>
      <c r="P2" s="8"/>
      <c r="Q2" s="8"/>
      <c r="R2" s="8"/>
      <c r="S2" s="8"/>
      <c r="T2" s="11"/>
      <c r="U2" s="9"/>
      <c r="V2" s="12" t="s">
        <v>2</v>
      </c>
      <c r="W2" s="12"/>
      <c r="X2" s="12"/>
      <c r="Y2" s="4"/>
      <c r="Z2" s="4"/>
      <c r="AA2" s="13"/>
      <c r="AB2" s="4"/>
    </row>
    <row r="3" customFormat="false" ht="19.7" hidden="false" customHeight="false" outlineLevel="0" collapsed="false">
      <c r="A3" s="4"/>
      <c r="B3" s="14"/>
      <c r="C3" s="15"/>
      <c r="D3" s="7"/>
      <c r="E3" s="8"/>
      <c r="F3" s="9"/>
      <c r="G3" s="9"/>
      <c r="H3" s="9"/>
      <c r="I3" s="9"/>
      <c r="J3" s="9"/>
      <c r="K3" s="10"/>
      <c r="L3" s="10"/>
      <c r="M3" s="10"/>
      <c r="N3" s="10"/>
      <c r="O3" s="8"/>
      <c r="P3" s="8"/>
      <c r="Q3" s="8"/>
      <c r="R3" s="8"/>
      <c r="S3" s="8"/>
      <c r="T3" s="16"/>
      <c r="U3" s="9"/>
      <c r="V3" s="17" t="s">
        <v>3</v>
      </c>
      <c r="W3" s="18"/>
      <c r="X3" s="9"/>
      <c r="Y3" s="4"/>
      <c r="Z3" s="4"/>
      <c r="AA3" s="19"/>
      <c r="AB3" s="4"/>
    </row>
    <row r="4" customFormat="false" ht="35.8" hidden="false" customHeight="false" outlineLevel="0" collapsed="false">
      <c r="A4" s="20" t="s">
        <v>4</v>
      </c>
      <c r="B4" s="21" t="s">
        <v>5</v>
      </c>
      <c r="C4" s="22" t="s">
        <v>6</v>
      </c>
      <c r="D4" s="23" t="s">
        <v>7</v>
      </c>
      <c r="E4" s="23" t="s">
        <v>8</v>
      </c>
      <c r="F4" s="24" t="s">
        <v>9</v>
      </c>
      <c r="G4" s="25" t="s">
        <v>10</v>
      </c>
      <c r="H4" s="25" t="s">
        <v>11</v>
      </c>
      <c r="I4" s="25" t="s">
        <v>12</v>
      </c>
      <c r="J4" s="25" t="s">
        <v>13</v>
      </c>
      <c r="K4" s="25" t="s">
        <v>14</v>
      </c>
      <c r="L4" s="25" t="s">
        <v>15</v>
      </c>
      <c r="M4" s="25" t="s">
        <v>16</v>
      </c>
      <c r="N4" s="25" t="s">
        <v>17</v>
      </c>
      <c r="O4" s="26" t="s">
        <v>18</v>
      </c>
      <c r="P4" s="26" t="s">
        <v>19</v>
      </c>
      <c r="Q4" s="26" t="s">
        <v>20</v>
      </c>
      <c r="R4" s="26" t="s">
        <v>21</v>
      </c>
      <c r="S4" s="26" t="s">
        <v>22</v>
      </c>
      <c r="T4" s="26" t="s">
        <v>23</v>
      </c>
      <c r="V4" s="27" t="s">
        <v>24</v>
      </c>
      <c r="W4" s="27"/>
      <c r="X4" s="28"/>
      <c r="Y4" s="4"/>
      <c r="Z4" s="29"/>
      <c r="AA4" s="30"/>
      <c r="AB4" s="30"/>
    </row>
    <row r="5" customFormat="false" ht="36" hidden="false" customHeight="1" outlineLevel="0" collapsed="false">
      <c r="A5" s="31" t="n">
        <v>1</v>
      </c>
      <c r="B5" s="32" t="inlineStr">
        <is>
          <t xml:space="preserve">FSM Easyfill 3</t>
        </is>
      </c>
      <c r="C5" s="33" t="inlineStr">
        <is>
          <t xml:space="preserve">5th September 2026</t>
        </is>
      </c>
      <c r="D5" s="34" t="inlineStr">
        <is>
          <t xml:space="preserve">AB1260902603</t>
        </is>
      </c>
      <c r="E5" s="35" t="inlineStr">
        <is>
          <t xml:space="preserve">PTC-V-AT-26-01</t>
        </is>
      </c>
      <c r="F5" s="36" t="inlineStr">
        <is>
          <t xml:space="preserve">Petrol for Van C7497</t>
        </is>
      </c>
      <c r="G5" s="37" t="inlineStr">
        <is>
          <t xml:space="preserve">Admin</t>
        </is>
      </c>
      <c r="H5" s="86"/>
      <c r="I5" s="86"/>
      <c r="J5" s="99"/>
      <c r="K5" s="100"/>
      <c r="L5" s="100"/>
      <c r="M5" s="100"/>
      <c r="N5" s="100"/>
      <c r="O5" s="101"/>
      <c r="P5" s="101"/>
      <c r="Q5" s="101">
        <v>500</v>
      </c>
      <c r="R5" s="101"/>
      <c r="S5" s="101"/>
      <c r="T5" s="42" t="n">
        <f aca="false">SUM(H5:S5)</f>
        <v>500</v>
      </c>
      <c r="V5" s="43" t="s">
        <v>25</v>
      </c>
      <c r="W5" s="43"/>
      <c r="X5" s="28"/>
      <c r="Y5" s="4"/>
      <c r="Z5" s="29"/>
      <c r="AA5" s="30"/>
      <c r="AB5" s="30"/>
    </row>
    <row r="6" customFormat="false" ht="54" hidden="false" customHeight="1" outlineLevel="0" collapsed="false">
      <c r="A6" s="31" t="n">
        <v>2</v>
      </c>
      <c r="B6" s="32" t="inlineStr">
        <is>
          <t xml:space="preserve">Fahi X</t>
        </is>
      </c>
      <c r="C6" s="33" t="inlineStr">
        <is>
          <t xml:space="preserve">13th September 2026</t>
        </is>
      </c>
      <c r="D6" s="34" t="inlineStr">
        <is>
          <t xml:space="preserve">FX-544953</t>
        </is>
      </c>
      <c r="E6" s="35" t="inlineStr">
        <is>
          <t xml:space="preserve">PTC-V-AT-26-02</t>
        </is>
      </c>
      <c r="F6" s="36" t="inlineStr">
        <is>
          <t xml:space="preserve">AKKO STAR CARBON BATTERY AA CARD-36573</t>
        </is>
      </c>
      <c r="G6" s="37" t="inlineStr">
        <is>
          <t xml:space="preserve">Admin</t>
        </is>
      </c>
      <c r="H6" s="86"/>
      <c r="I6" s="86"/>
      <c r="J6" s="99"/>
      <c r="K6" s="100"/>
      <c r="L6" s="100"/>
      <c r="M6" s="100"/>
      <c r="N6" s="100"/>
      <c r="O6" s="101">
        <v>54</v>
      </c>
      <c r="P6" s="101"/>
      <c r="Q6" s="101"/>
      <c r="R6" s="101"/>
      <c r="S6" s="101"/>
      <c r="T6" s="42" t="n">
        <f aca="false">SUM(H6:S6)</f>
        <v>54</v>
      </c>
      <c r="U6" s="4"/>
      <c r="V6" s="46" t="s">
        <v>26</v>
      </c>
      <c r="W6" s="46"/>
      <c r="X6" s="47" t="n">
        <f aca="false">X4+X5</f>
        <v>0</v>
      </c>
      <c r="Y6" s="4"/>
      <c r="Z6" s="29"/>
      <c r="AA6" s="30"/>
      <c r="AB6" s="30"/>
    </row>
    <row r="7" customFormat="false" ht="36" hidden="false" customHeight="1" outlineLevel="0" collapsed="false">
      <c r="A7" s="31" t="n">
        <v>3</v>
      </c>
      <c r="B7" s="32" t="inlineStr">
        <is>
          <t xml:space="preserve">Pilawoos</t>
        </is>
      </c>
      <c r="C7" s="33" t="inlineStr">
        <is>
          <t xml:space="preserve">5th September 2026</t>
        </is>
      </c>
      <c r="D7" s="34" t="inlineStr">
        <is>
          <t xml:space="preserve">1/034815</t>
        </is>
      </c>
      <c r="E7" s="35" t="inlineStr">
        <is>
          <t xml:space="preserve">PTC-V-AT-26-03</t>
        </is>
      </c>
      <c r="F7" s="36" t="inlineStr">
        <is>
          <t xml:space="preserve">REFRESHMENET FOR CLEANERS</t>
        </is>
      </c>
      <c r="G7" s="37" t="inlineStr">
        <is>
          <t xml:space="preserve">Admin</t>
        </is>
      </c>
      <c r="H7" s="86">
        <v>400</v>
      </c>
      <c r="I7" s="86"/>
      <c r="J7" s="99"/>
      <c r="K7" s="100"/>
      <c r="L7" s="100"/>
      <c r="M7" s="100"/>
      <c r="N7" s="100"/>
      <c r="O7" s="101"/>
      <c r="P7" s="101"/>
      <c r="Q7" s="101"/>
      <c r="R7" s="101"/>
      <c r="S7" s="101"/>
      <c r="T7" s="42" t="n">
        <f aca="false">SUM(H7:S7)</f>
        <v>400</v>
      </c>
      <c r="U7" s="4"/>
      <c r="Y7" s="4"/>
      <c r="Z7" s="50" t="s">
        <v>27</v>
      </c>
      <c r="AA7" s="50"/>
      <c r="AB7" s="51" t="n">
        <f aca="false">T28</f>
        <v>4137.08</v>
      </c>
    </row>
    <row r="8" customFormat="false" ht="36" hidden="false" customHeight="1" outlineLevel="0" collapsed="false">
      <c r="A8" s="31" t="n">
        <v>4</v>
      </c>
      <c r="B8" s="32" t="inlineStr">
        <is>
          <t xml:space="preserve">SJ Trade Pvt Ltd</t>
        </is>
      </c>
      <c r="C8" s="33" t="inlineStr">
        <is>
          <t xml:space="preserve">12th September 2026</t>
        </is>
      </c>
      <c r="D8" s="34" t="inlineStr">
        <is>
          <t xml:space="preserve">INV/26/09/0636</t>
        </is>
      </c>
      <c r="E8" s="35" t="inlineStr">
        <is>
          <t xml:space="preserve">PTC-V-AT-26-04</t>
        </is>
      </c>
      <c r="F8" s="36" t="inlineStr">
        <is>
          <t xml:space="preserve">COTTON GLOVES</t>
        </is>
      </c>
      <c r="G8" s="37" t="inlineStr">
        <is>
          <t xml:space="preserve">Admin</t>
        </is>
      </c>
      <c r="H8" s="86"/>
      <c r="I8" s="86"/>
      <c r="J8" s="99"/>
      <c r="K8" s="100"/>
      <c r="L8" s="100"/>
      <c r="M8" s="100"/>
      <c r="N8" s="100"/>
      <c r="O8" s="101"/>
      <c r="P8" s="101"/>
      <c r="Q8" s="101"/>
      <c r="R8" s="101"/>
      <c r="S8" s="101">
        <v>45</v>
      </c>
      <c r="T8" s="42" t="n">
        <f aca="false">SUM(H8:S8)</f>
        <v>45</v>
      </c>
      <c r="U8" s="9"/>
      <c r="V8" s="28" t="s">
        <v>28</v>
      </c>
      <c r="W8" s="28"/>
      <c r="X8" s="28" t="n">
        <f aca="false">T28</f>
        <v>4137.08</v>
      </c>
      <c r="Y8" s="4"/>
      <c r="Z8" s="50" t="s">
        <v>29</v>
      </c>
      <c r="AA8" s="50"/>
      <c r="AB8" s="53" t="n">
        <f aca="false">X27</f>
        <v>0</v>
      </c>
    </row>
    <row r="9" customFormat="false" ht="36" hidden="false" customHeight="1" outlineLevel="0" collapsed="false">
      <c r="A9" s="31" t="n">
        <v>5</v>
      </c>
      <c r="B9" s="32" t="inlineStr">
        <is>
          <t xml:space="preserve">Avas Car</t>
        </is>
      </c>
      <c r="C9" s="33" t="inlineStr">
        <is>
          <t xml:space="preserve">10th September 2026</t>
        </is>
      </c>
      <c r="D9" s="34" t="inlineStr">
        <is>
          <t xml:space="preserve">QRLG-ZQJQ</t>
        </is>
      </c>
      <c r="E9" s="35" t="inlineStr">
        <is>
          <t xml:space="preserve">PTC-V-AT-26-05</t>
        </is>
      </c>
      <c r="F9" s="36" t="inlineStr">
        <is>
          <t xml:space="preserve">TRAVEL ARRANGEMENTS FOR CLEANERS</t>
        </is>
      </c>
      <c r="G9" s="37" t="inlineStr">
        <is>
          <t xml:space="preserve">Admin</t>
        </is>
      </c>
      <c r="H9" s="86"/>
      <c r="I9" s="86"/>
      <c r="J9" s="99"/>
      <c r="K9" s="100"/>
      <c r="L9" s="100"/>
      <c r="M9" s="100"/>
      <c r="N9" s="100">
        <v>320</v>
      </c>
      <c r="O9" s="101"/>
      <c r="P9" s="101"/>
      <c r="Q9" s="101"/>
      <c r="R9" s="101"/>
      <c r="S9" s="101"/>
      <c r="T9" s="42" t="n">
        <f aca="false">SUM(H9:S9)</f>
        <v>320</v>
      </c>
      <c r="U9" s="9"/>
      <c r="V9" s="56" t="s">
        <v>30</v>
      </c>
      <c r="W9" s="56"/>
      <c r="X9" s="28" t="n">
        <f aca="false">X27</f>
        <v>0</v>
      </c>
      <c r="Y9" s="4"/>
      <c r="Z9" s="4"/>
      <c r="AA9" s="4"/>
      <c r="AB9" s="57">
        <f>SUM(5000-X11)</f>
        <v>862.92</v>
      </c>
    </row>
    <row r="10" customFormat="false" ht="36" hidden="false" customHeight="1" outlineLevel="0" collapsed="false">
      <c r="A10" s="31" t="n">
        <v>6</v>
      </c>
      <c r="B10" s="32" t="inlineStr">
        <is>
          <t xml:space="preserve">Pick up Service</t>
        </is>
      </c>
      <c r="C10" s="33" t="inlineStr">
        <is>
          <t xml:space="preserve">17th September 2026</t>
        </is>
      </c>
      <c r="D10" s="34" t="inlineStr">
        <is>
          <t xml:space="preserve">PS-026</t>
        </is>
      </c>
      <c r="E10" s="35" t="inlineStr">
        <is>
          <t xml:space="preserve">PTC-V-AT-26-06</t>
        </is>
      </c>
      <c r="F10" s="36" t="inlineStr">
        <is>
          <t xml:space="preserve">Pick up for trash disposal</t>
        </is>
      </c>
      <c r="G10" s="37" t="inlineStr">
        <is>
          <t xml:space="preserve">Admin</t>
        </is>
      </c>
      <c r="H10" s="86"/>
      <c r="I10" s="86"/>
      <c r="J10" s="99"/>
      <c r="K10" s="100"/>
      <c r="L10" s="100"/>
      <c r="M10" s="100"/>
      <c r="N10" s="100"/>
      <c r="O10" s="101"/>
      <c r="P10" s="101">
        <v>1000</v>
      </c>
      <c r="Q10" s="101"/>
      <c r="R10" s="101"/>
      <c r="S10" s="101"/>
      <c r="T10" s="42" t="n">
        <f aca="false">SUM(H10:S10)</f>
        <v>1000</v>
      </c>
      <c r="U10" s="9"/>
      <c r="V10" s="56" t="s">
        <v>31</v>
      </c>
      <c r="W10" s="56"/>
      <c r="X10" s="28"/>
      <c r="Y10" s="4"/>
      <c r="Z10" s="4"/>
      <c r="AA10" s="13"/>
      <c r="AB10" s="13"/>
    </row>
    <row r="11" customFormat="false" ht="36" hidden="false" customHeight="1" outlineLevel="0" collapsed="false">
      <c r="A11" s="31" t="n">
        <v>7</v>
      </c>
      <c r="B11" s="32" t="inlineStr">
        <is>
          <t xml:space="preserve">Fahi X</t>
        </is>
      </c>
      <c r="C11" s="33" t="inlineStr">
        <is>
          <t xml:space="preserve">9th September 2026</t>
        </is>
      </c>
      <c r="D11" s="34" t="inlineStr">
        <is>
          <t xml:space="preserve">FX-540641</t>
        </is>
      </c>
      <c r="E11" s="35" t="inlineStr">
        <is>
          <t xml:space="preserve">PTC-V-AT-26-07</t>
        </is>
      </c>
      <c r="F11" s="36" t="inlineStr">
        <is>
          <t xml:space="preserve">Sugar</t>
        </is>
      </c>
      <c r="G11" s="37" t="inlineStr">
        <is>
          <t xml:space="preserve">Admin</t>
        </is>
      </c>
      <c r="H11" s="86">
        <v>25</v>
      </c>
      <c r="I11" s="86"/>
      <c r="J11" s="99"/>
      <c r="K11" s="100"/>
      <c r="L11" s="100"/>
      <c r="M11" s="100"/>
      <c r="N11" s="100"/>
      <c r="O11" s="101"/>
      <c r="P11" s="101"/>
      <c r="Q11" s="101"/>
      <c r="R11" s="101"/>
      <c r="S11" s="101"/>
      <c r="T11" s="42" t="n">
        <f aca="false">SUM(H11:S11)</f>
        <v>25</v>
      </c>
      <c r="U11" s="9"/>
      <c r="V11" s="66" t="s">
        <v>32</v>
      </c>
      <c r="W11" s="66"/>
      <c r="X11" s="67" t="n">
        <f aca="false">SUM(X8:X10)</f>
        <v>4137.08</v>
      </c>
      <c r="Y11" s="4"/>
      <c r="Z11" s="4"/>
      <c r="AA11" s="13"/>
      <c r="AB11" s="13"/>
    </row>
    <row r="12" customFormat="false" ht="54" hidden="false" customHeight="1" outlineLevel="0" collapsed="false">
      <c r="A12" s="31" t="n">
        <v>8</v>
      </c>
      <c r="B12" s="32" t="inlineStr">
        <is>
          <t xml:space="preserve">Link Serve Pvt Ltd</t>
        </is>
      </c>
      <c r="C12" s="33" t="inlineStr">
        <is>
          <t xml:space="preserve">14th September 2026</t>
        </is>
      </c>
      <c r="D12" s="34" t="inlineStr">
        <is>
          <t xml:space="preserve">INV/2026/33946</t>
        </is>
      </c>
      <c r="E12" s="35" t="inlineStr">
        <is>
          <t xml:space="preserve">PTC-V-AT-26-08</t>
        </is>
      </c>
      <c r="F12" s="36" t="inlineStr">
        <is>
          <t xml:space="preserve">UGREEN Ergomomic Mouse Pad with wrist Rest LP668</t>
        </is>
      </c>
      <c r="G12" s="37" t="inlineStr">
        <is>
          <t xml:space="preserve">Admin</t>
        </is>
      </c>
      <c r="H12" s="86"/>
      <c r="I12" s="86"/>
      <c r="J12" s="99"/>
      <c r="K12" s="100"/>
      <c r="L12" s="100"/>
      <c r="M12" s="100"/>
      <c r="N12" s="100"/>
      <c r="O12" s="101">
        <v>130</v>
      </c>
      <c r="P12" s="101"/>
      <c r="Q12" s="101"/>
      <c r="R12" s="101"/>
      <c r="S12" s="101"/>
      <c r="T12" s="42" t="n">
        <f aca="false">SUM(H12:S12)</f>
        <v>130</v>
      </c>
      <c r="U12" s="9"/>
      <c r="V12" s="70" t="s">
        <v>33</v>
      </c>
      <c r="W12" s="9"/>
      <c r="X12" s="9"/>
      <c r="Y12" s="4"/>
      <c r="Z12" s="4"/>
      <c r="AA12" s="13"/>
      <c r="AB12" s="13"/>
    </row>
    <row r="13" customFormat="false" ht="36" hidden="false" customHeight="1" outlineLevel="0" collapsed="false">
      <c r="A13" s="31" t="n">
        <v>9</v>
      </c>
      <c r="B13" s="32" t="inlineStr">
        <is>
          <t xml:space="preserve">Raadha Bookshop</t>
        </is>
      </c>
      <c r="C13" s="33" t="inlineStr">
        <is>
          <t xml:space="preserve">15th September 2026</t>
        </is>
      </c>
      <c r="D13" s="34" t="inlineStr">
        <is>
          <t xml:space="preserve">10/423389</t>
        </is>
      </c>
      <c r="E13" s="35" t="inlineStr">
        <is>
          <t xml:space="preserve">PTC-V-AT-26-09</t>
        </is>
      </c>
      <c r="F13" s="36" t="inlineStr">
        <is>
          <t xml:space="preserve">Note book</t>
        </is>
      </c>
      <c r="G13" s="37" t="inlineStr">
        <is>
          <t xml:space="preserve">Admin</t>
        </is>
      </c>
      <c r="H13" s="86"/>
      <c r="I13" s="86"/>
      <c r="J13" s="99"/>
      <c r="K13" s="100"/>
      <c r="L13" s="100"/>
      <c r="M13" s="100"/>
      <c r="N13" s="100"/>
      <c r="O13" s="101">
        <v>910</v>
      </c>
      <c r="P13" s="101"/>
      <c r="Q13" s="101"/>
      <c r="R13" s="101"/>
      <c r="S13" s="101"/>
      <c r="T13" s="42" t="n">
        <f aca="false">SUM(H13:S13)</f>
        <v>910</v>
      </c>
      <c r="U13" s="4"/>
      <c r="V13" s="74" t="s">
        <v>34</v>
      </c>
      <c r="W13" s="75" t="s">
        <v>35</v>
      </c>
      <c r="X13" s="74" t="s">
        <v>36</v>
      </c>
      <c r="Y13" s="4"/>
      <c r="Z13" s="4"/>
      <c r="AA13" s="4"/>
      <c r="AB13"/>
    </row>
    <row r="14" customFormat="false" ht="36" hidden="false" customHeight="1" outlineLevel="0" collapsed="false">
      <c r="A14" s="31" t="n">
        <v>10</v>
      </c>
      <c r="B14" s="32" t="inlineStr">
        <is>
          <t xml:space="preserve">Avas Car</t>
        </is>
      </c>
      <c r="C14" s="33" t="inlineStr">
        <is>
          <t xml:space="preserve">16th September 2026</t>
        </is>
      </c>
      <c r="D14" s="34" t="inlineStr">
        <is>
          <t xml:space="preserve">AB1BP8147, AB1BP5176</t>
        </is>
      </c>
      <c r="E14" s="35" t="inlineStr">
        <is>
          <t xml:space="preserve">PTC-V-AT-26-10</t>
        </is>
      </c>
      <c r="F14" s="36" t="inlineStr">
        <is>
          <t xml:space="preserve">TRAVEL ARRANGEMENTS FOR CLEANERS</t>
        </is>
      </c>
      <c r="G14" s="37" t="inlineStr">
        <is>
          <t xml:space="preserve">Admin</t>
        </is>
      </c>
      <c r="H14" s="86"/>
      <c r="I14" s="86"/>
      <c r="J14" s="99"/>
      <c r="K14" s="100"/>
      <c r="L14" s="100"/>
      <c r="M14" s="100"/>
      <c r="N14" s="100">
        <v>80</v>
      </c>
      <c r="O14" s="101"/>
      <c r="P14" s="101"/>
      <c r="Q14" s="101"/>
      <c r="R14" s="101"/>
      <c r="S14" s="101"/>
      <c r="T14" s="42" t="n">
        <f aca="false">SUM(H14:S14)</f>
        <v>80</v>
      </c>
      <c r="U14" s="4"/>
      <c r="V14" s="77" t="n">
        <v>500</v>
      </c>
      <c r="W14" s="78"/>
      <c r="X14" s="79" t="n">
        <f aca="false">V14*W14</f>
        <v>0</v>
      </c>
      <c r="Y14" s="4"/>
      <c r="Z14" s="13"/>
      <c r="AA14" s="80"/>
      <c r="AB14" s="4"/>
    </row>
    <row r="15" customFormat="false" ht="36" hidden="false" customHeight="1" outlineLevel="0" collapsed="false">
      <c r="A15" s="31" t="n">
        <v>11</v>
      </c>
      <c r="B15" s="32" t="inlineStr">
        <is>
          <t xml:space="preserve">FSM Easyfill 3</t>
        </is>
      </c>
      <c r="C15" s="33" t="inlineStr">
        <is>
          <t xml:space="preserve">20th September 2026</t>
        </is>
      </c>
      <c r="D15" s="34" t="inlineStr">
        <is>
          <t xml:space="preserve">AB1260911538</t>
        </is>
      </c>
      <c r="E15" s="35" t="inlineStr">
        <is>
          <t xml:space="preserve">PTC-V-AT-26-11</t>
        </is>
      </c>
      <c r="F15" s="36" t="inlineStr">
        <is>
          <t xml:space="preserve">Diesel for Double Cab (C5241)</t>
        </is>
      </c>
      <c r="G15" s="37" t="inlineStr">
        <is>
          <t xml:space="preserve">Admin</t>
        </is>
      </c>
      <c r="H15" s="86"/>
      <c r="I15" s="86"/>
      <c r="J15" s="99"/>
      <c r="K15" s="100"/>
      <c r="L15" s="100"/>
      <c r="M15" s="100"/>
      <c r="N15" s="100"/>
      <c r="O15" s="101"/>
      <c r="P15" s="101"/>
      <c r="Q15" s="101">
        <v>500</v>
      </c>
      <c r="R15" s="101"/>
      <c r="S15" s="101"/>
      <c r="T15" s="42" t="n">
        <f aca="false">SUM(H15:S15)</f>
        <v>500</v>
      </c>
      <c r="U15" s="4"/>
      <c r="V15" s="90" t="n">
        <v>100</v>
      </c>
      <c r="W15" s="78"/>
      <c r="X15" s="79" t="n">
        <f aca="false">V15*W15</f>
        <v>0</v>
      </c>
      <c r="Y15" s="91"/>
      <c r="Z15" s="91"/>
      <c r="AA15" s="91"/>
      <c r="AB15" s="91"/>
    </row>
    <row r="16" customFormat="false" ht="36" hidden="false" customHeight="1" outlineLevel="0" collapsed="false">
      <c r="A16" s="31" t="n">
        <v>12</v>
      </c>
      <c r="B16" s="32" t="inlineStr">
        <is>
          <t xml:space="preserve">Home Work</t>
        </is>
      </c>
      <c r="C16" s="33" t="inlineStr">
        <is>
          <t xml:space="preserve">11th September 2026</t>
        </is>
      </c>
      <c r="D16" s="34" t="inlineStr">
        <is>
          <t xml:space="preserve">877859</t>
        </is>
      </c>
      <c r="E16" s="35" t="inlineStr">
        <is>
          <t xml:space="preserve">PTC-V-AT-26-12</t>
        </is>
      </c>
      <c r="F16" s="36" t="inlineStr">
        <is>
          <t xml:space="preserve">PVC Casing</t>
        </is>
      </c>
      <c r="G16" s="37" t="inlineStr">
        <is>
          <t xml:space="preserve">Admin</t>
        </is>
      </c>
      <c r="H16" s="86"/>
      <c r="I16" s="86">
        <v>173.08</v>
      </c>
      <c r="J16" s="99"/>
      <c r="K16" s="100"/>
      <c r="L16" s="100"/>
      <c r="M16" s="100"/>
      <c r="N16" s="100"/>
      <c r="O16" s="101"/>
      <c r="P16" s="101"/>
      <c r="Q16" s="101"/>
      <c r="R16" s="101"/>
      <c r="S16" s="101"/>
      <c r="T16" s="42" t="n">
        <f aca="false">SUM(H16:S16)</f>
        <v>173.08</v>
      </c>
      <c r="U16" s="4"/>
      <c r="V16" s="90" t="n">
        <v>50</v>
      </c>
      <c r="W16" s="78"/>
      <c r="X16" s="79" t="n">
        <f aca="false">V16*W16</f>
        <v>0</v>
      </c>
      <c r="Y16" s="4"/>
      <c r="Z16" s="96"/>
      <c r="AA16" s="97"/>
      <c r="AB16" s="4"/>
    </row>
    <row r="17" customFormat="false" ht="30" hidden="false" customHeight="1" outlineLevel="0" collapsed="false">
      <c r="A17" s="31" t="n">
        <v>13</v>
      </c>
      <c r="B17" s="32"/>
      <c r="C17" s="33"/>
      <c r="D17" s="34"/>
      <c r="E17" s="35"/>
      <c r="F17" s="36"/>
      <c r="G17" s="37"/>
      <c r="H17" s="86"/>
      <c r="I17" s="86"/>
      <c r="J17" s="99"/>
      <c r="K17" s="100"/>
      <c r="L17" s="100"/>
      <c r="M17" s="100"/>
      <c r="N17" s="100"/>
      <c r="O17" s="101"/>
      <c r="P17" s="101"/>
      <c r="Q17" s="101"/>
      <c r="R17" s="101"/>
      <c r="S17" s="101"/>
      <c r="T17" s="42" t="n">
        <f aca="false">SUM(H17:S17)</f>
        <v>0</v>
      </c>
      <c r="U17" s="4"/>
      <c r="V17" s="90" t="n">
        <v>20</v>
      </c>
      <c r="W17" s="102"/>
      <c r="X17" s="79" t="n">
        <f aca="false">V17*W17</f>
        <v>0</v>
      </c>
      <c r="Y17" s="4"/>
      <c r="Z17" s="96"/>
      <c r="AA17" s="97"/>
      <c r="AB17" s="4"/>
    </row>
    <row r="18" customFormat="false" ht="30" hidden="false" customHeight="1" outlineLevel="0" collapsed="false">
      <c r="A18" s="31" t="n">
        <v>14</v>
      </c>
      <c r="B18" s="32"/>
      <c r="C18" s="33"/>
      <c r="D18" s="34"/>
      <c r="E18" s="35"/>
      <c r="F18" s="36"/>
      <c r="G18" s="37"/>
      <c r="H18" s="86"/>
      <c r="I18" s="86"/>
      <c r="J18" s="99"/>
      <c r="K18" s="100"/>
      <c r="L18" s="100"/>
      <c r="M18" s="100"/>
      <c r="N18" s="100"/>
      <c r="O18" s="101"/>
      <c r="P18" s="101"/>
      <c r="Q18" s="101"/>
      <c r="R18" s="101"/>
      <c r="S18" s="101"/>
      <c r="T18" s="42" t="n">
        <f aca="false">SUM(H18:S18)</f>
        <v>0</v>
      </c>
      <c r="U18" s="4"/>
      <c r="V18" s="90" t="n">
        <v>10</v>
      </c>
      <c r="W18" s="78"/>
      <c r="X18" s="79" t="n">
        <f aca="false">V18*W18</f>
        <v>0</v>
      </c>
      <c r="Y18" s="4"/>
      <c r="Z18" s="4"/>
      <c r="AA18" s="4"/>
      <c r="AB18" s="4"/>
    </row>
    <row r="19" customFormat="false" ht="30" hidden="false" customHeight="1" outlineLevel="0" collapsed="false">
      <c r="A19" s="31" t="n">
        <v>15</v>
      </c>
      <c r="B19" s="32"/>
      <c r="C19" s="33"/>
      <c r="D19" s="34"/>
      <c r="E19" s="35"/>
      <c r="F19" s="36"/>
      <c r="G19" s="37"/>
      <c r="H19" s="86"/>
      <c r="I19" s="86"/>
      <c r="J19" s="99"/>
      <c r="K19" s="100"/>
      <c r="L19" s="100"/>
      <c r="M19" s="100"/>
      <c r="N19" s="100"/>
      <c r="O19" s="101"/>
      <c r="P19" s="101"/>
      <c r="Q19" s="101"/>
      <c r="R19" s="101"/>
      <c r="S19" s="101"/>
      <c r="T19" s="42" t="n">
        <f aca="false">SUM(H19:S19)</f>
        <v>0</v>
      </c>
      <c r="U19" s="4"/>
      <c r="V19" s="90" t="n">
        <v>5</v>
      </c>
      <c r="W19" s="78"/>
      <c r="X19" s="79" t="n">
        <f aca="false">V19*W19</f>
        <v>0</v>
      </c>
      <c r="Y19" s="4"/>
      <c r="Z19" s="4"/>
      <c r="AA19" s="4"/>
      <c r="AB19" s="4"/>
    </row>
    <row r="20" customFormat="false" ht="30" hidden="false" customHeight="1" outlineLevel="0" collapsed="false">
      <c r="A20" s="31" t="n">
        <v>16</v>
      </c>
      <c r="B20" s="32"/>
      <c r="C20" s="33"/>
      <c r="D20" s="34"/>
      <c r="E20" s="35"/>
      <c r="F20" s="36"/>
      <c r="G20" s="37"/>
      <c r="H20" s="86"/>
      <c r="I20" s="86"/>
      <c r="J20" s="99"/>
      <c r="K20" s="100"/>
      <c r="L20" s="100"/>
      <c r="M20" s="100"/>
      <c r="N20" s="100"/>
      <c r="O20" s="101"/>
      <c r="P20" s="101"/>
      <c r="Q20" s="101"/>
      <c r="R20" s="101"/>
      <c r="S20" s="101"/>
      <c r="T20" s="42" t="n">
        <f aca="false">SUM(H20:S20)</f>
        <v>0</v>
      </c>
      <c r="U20" s="4"/>
      <c r="V20" s="90" t="n">
        <v>2</v>
      </c>
      <c r="W20" s="78"/>
      <c r="X20" s="79" t="n">
        <f aca="false">V20*W20</f>
        <v>0</v>
      </c>
      <c r="Y20" s="4"/>
      <c r="Z20" s="4"/>
      <c r="AA20" s="4"/>
      <c r="AB20" s="4"/>
    </row>
    <row r="21" customFormat="false" ht="30" hidden="false" customHeight="1" outlineLevel="0" collapsed="false">
      <c r="A21" s="31" t="n">
        <v>17</v>
      </c>
      <c r="B21" s="32"/>
      <c r="C21" s="33"/>
      <c r="D21" s="34"/>
      <c r="E21" s="35"/>
      <c r="F21" s="36"/>
      <c r="G21" s="37"/>
      <c r="H21" s="86"/>
      <c r="I21" s="86"/>
      <c r="J21" s="99"/>
      <c r="K21" s="100"/>
      <c r="L21" s="100"/>
      <c r="M21" s="100"/>
      <c r="N21" s="100"/>
      <c r="O21" s="101"/>
      <c r="P21" s="101"/>
      <c r="Q21" s="101"/>
      <c r="R21" s="101"/>
      <c r="S21" s="101"/>
      <c r="T21" s="42" t="n">
        <f aca="false">SUM(H21:S21)</f>
        <v>0</v>
      </c>
      <c r="U21" s="4"/>
      <c r="V21" s="90" t="n">
        <v>1</v>
      </c>
      <c r="W21" s="102"/>
      <c r="X21" s="79" t="n">
        <f aca="false">V21*W21</f>
        <v>0</v>
      </c>
      <c r="Y21" s="4"/>
      <c r="Z21" s="4"/>
      <c r="AA21" s="4"/>
      <c r="AB21" s="4"/>
    </row>
    <row r="22" customFormat="false" ht="30" hidden="false" customHeight="1" outlineLevel="0" collapsed="false">
      <c r="A22" s="31" t="n">
        <v>18</v>
      </c>
      <c r="B22" s="32"/>
      <c r="C22" s="33"/>
      <c r="D22" s="34"/>
      <c r="E22" s="35"/>
      <c r="F22" s="36"/>
      <c r="G22" s="37"/>
      <c r="H22" s="86"/>
      <c r="I22" s="86"/>
      <c r="J22" s="99"/>
      <c r="K22" s="100"/>
      <c r="L22" s="100"/>
      <c r="M22" s="100"/>
      <c r="N22" s="100"/>
      <c r="O22" s="101"/>
      <c r="P22" s="101"/>
      <c r="Q22" s="101"/>
      <c r="R22" s="101"/>
      <c r="S22" s="101"/>
      <c r="T22" s="42" t="n">
        <f aca="false">SUM(H22:S22)</f>
        <v>0</v>
      </c>
      <c r="U22" s="4"/>
      <c r="V22" s="90" t="n">
        <v>0.5</v>
      </c>
      <c r="W22" s="78"/>
      <c r="X22" s="79" t="n">
        <f aca="false">V22*W22</f>
        <v>0</v>
      </c>
      <c r="Y22" s="4"/>
      <c r="Z22" s="4"/>
      <c r="AA22" s="4"/>
      <c r="AB22" s="4"/>
    </row>
    <row r="23" customFormat="false" ht="30" hidden="false" customHeight="1" outlineLevel="0" collapsed="false">
      <c r="A23" s="31" t="n">
        <v>19</v>
      </c>
      <c r="B23" s="32"/>
      <c r="C23" s="33"/>
      <c r="D23" s="34"/>
      <c r="E23" s="35"/>
      <c r="F23" s="36"/>
      <c r="G23" s="37"/>
      <c r="H23" s="86"/>
      <c r="I23" s="86"/>
      <c r="J23" s="99"/>
      <c r="K23" s="100"/>
      <c r="L23" s="100"/>
      <c r="M23" s="100"/>
      <c r="N23" s="100"/>
      <c r="O23" s="101"/>
      <c r="P23" s="101"/>
      <c r="Q23" s="101"/>
      <c r="R23" s="101"/>
      <c r="S23" s="101"/>
      <c r="T23" s="42" t="n">
        <f aca="false">SUM(H23:S23)</f>
        <v>0</v>
      </c>
      <c r="U23" s="4"/>
      <c r="V23" s="90" t="n">
        <v>0.25</v>
      </c>
      <c r="W23" s="102"/>
      <c r="X23" s="79" t="n">
        <f aca="false">V23*W23</f>
        <v>0</v>
      </c>
      <c r="Y23" s="4"/>
      <c r="Z23" s="4"/>
      <c r="AA23" s="4"/>
      <c r="AB23" s="4"/>
    </row>
    <row r="24" customFormat="false" ht="30" hidden="false" customHeight="1" outlineLevel="0" collapsed="false">
      <c r="A24" s="31" t="n">
        <v>20</v>
      </c>
      <c r="B24" s="32"/>
      <c r="C24" s="33"/>
      <c r="D24" s="34"/>
      <c r="E24" s="35"/>
      <c r="F24" s="36"/>
      <c r="G24" s="37"/>
      <c r="H24" s="86"/>
      <c r="I24" s="86"/>
      <c r="J24" s="99"/>
      <c r="K24" s="100"/>
      <c r="L24" s="100"/>
      <c r="M24" s="100"/>
      <c r="N24" s="100"/>
      <c r="O24" s="101"/>
      <c r="P24" s="101"/>
      <c r="Q24" s="101"/>
      <c r="R24" s="101"/>
      <c r="S24" s="101"/>
      <c r="T24" s="42" t="n">
        <f aca="false">SUM(H24:S24)</f>
        <v>0</v>
      </c>
      <c r="U24" s="9"/>
      <c r="V24" s="90" t="n">
        <v>0.1</v>
      </c>
      <c r="W24" s="102"/>
      <c r="X24" s="79" t="n">
        <f aca="false">V24*W24</f>
        <v>0</v>
      </c>
      <c r="Y24" s="4"/>
      <c r="Z24" s="4"/>
      <c r="AA24" s="4"/>
      <c r="AB24" s="4"/>
    </row>
    <row r="25" customFormat="false" ht="30" hidden="false" customHeight="1" outlineLevel="0" collapsed="false">
      <c r="A25" s="31" t="n">
        <v>21</v>
      </c>
      <c r="B25" s="32"/>
      <c r="C25" s="33"/>
      <c r="D25" s="34"/>
      <c r="E25" s="35"/>
      <c r="F25" s="36"/>
      <c r="G25" s="37"/>
      <c r="H25" s="86"/>
      <c r="I25" s="86"/>
      <c r="J25" s="99"/>
      <c r="K25" s="100"/>
      <c r="L25" s="100"/>
      <c r="M25" s="100"/>
      <c r="N25" s="100"/>
      <c r="O25" s="101"/>
      <c r="P25" s="101"/>
      <c r="Q25" s="101"/>
      <c r="R25" s="101"/>
      <c r="S25" s="101"/>
      <c r="T25" s="42" t="n">
        <f aca="false">SUM(H25:S25)</f>
        <v>0</v>
      </c>
      <c r="U25" s="9"/>
      <c r="V25" s="90" t="n">
        <v>0.05</v>
      </c>
      <c r="W25" s="102"/>
      <c r="X25" s="79" t="n">
        <f aca="false">V25*W25</f>
        <v>0</v>
      </c>
      <c r="Y25" s="4"/>
      <c r="Z25" s="4"/>
      <c r="AA25" s="4"/>
      <c r="AB25" s="4"/>
    </row>
    <row r="26" customFormat="false" ht="30" hidden="false" customHeight="1" outlineLevel="0" collapsed="false">
      <c r="A26" s="31" t="n">
        <v>22</v>
      </c>
      <c r="B26" s="32"/>
      <c r="C26" s="33"/>
      <c r="D26" s="34"/>
      <c r="E26" s="35"/>
      <c r="F26" s="36"/>
      <c r="G26" s="37"/>
      <c r="H26" s="86"/>
      <c r="I26" s="86"/>
      <c r="J26" s="99"/>
      <c r="K26" s="100"/>
      <c r="L26" s="100"/>
      <c r="M26" s="100"/>
      <c r="N26" s="100"/>
      <c r="O26" s="101"/>
      <c r="P26" s="101"/>
      <c r="Q26" s="101"/>
      <c r="R26" s="101"/>
      <c r="S26" s="101"/>
      <c r="T26" s="42" t="n">
        <f aca="false">SUM(H26:S26)</f>
        <v>0</v>
      </c>
      <c r="U26" s="9"/>
      <c r="V26" s="90" t="n">
        <v>0.01</v>
      </c>
      <c r="W26" s="102"/>
      <c r="X26" s="79" t="n">
        <f aca="false">V26*W26</f>
        <v>0</v>
      </c>
      <c r="Y26" s="4"/>
      <c r="Z26" s="4"/>
      <c r="AA26" s="4"/>
      <c r="AB26" s="4"/>
    </row>
    <row r="27" customFormat="false" ht="30" hidden="false" customHeight="1" outlineLevel="0" collapsed="false">
      <c r="A27" s="31" t="n">
        <v>23</v>
      </c>
      <c r="B27" s="32"/>
      <c r="C27" s="33"/>
      <c r="D27" s="34"/>
      <c r="E27" s="35"/>
      <c r="F27" s="36"/>
      <c r="G27" s="37"/>
      <c r="H27" s="86"/>
      <c r="I27" s="86"/>
      <c r="J27" s="99"/>
      <c r="K27" s="100"/>
      <c r="L27" s="100"/>
      <c r="M27" s="100"/>
      <c r="N27" s="100"/>
      <c r="O27" s="101"/>
      <c r="P27" s="101"/>
      <c r="Q27" s="101"/>
      <c r="R27" s="101"/>
      <c r="S27" s="101"/>
      <c r="T27" s="42" t="n">
        <f aca="false">SUM(H27:S27)</f>
        <v>0</v>
      </c>
      <c r="U27" s="9"/>
      <c r="V27" s="108" t="s">
        <v>37</v>
      </c>
      <c r="W27" s="108"/>
      <c r="X27" s="109" t="n">
        <f aca="false">SUM(X14:X26)</f>
        <v>0</v>
      </c>
      <c r="Y27" s="4"/>
      <c r="Z27" s="4"/>
      <c r="AA27" s="4"/>
      <c r="AB27" s="4"/>
    </row>
    <row r="28" customFormat="false" ht="44.25" hidden="false" customHeight="true" outlineLevel="0" collapsed="false">
      <c r="A28" s="31"/>
      <c r="B28" s="110"/>
      <c r="C28" s="82"/>
      <c r="D28" s="83"/>
      <c r="E28" s="111"/>
      <c r="F28" s="112"/>
      <c r="G28" s="113" t="n">
        <f aca="false">SUM(G5:G27)</f>
        <v>0</v>
      </c>
      <c r="H28" s="113" t="n">
        <f aca="false">SUM(H5:H27)</f>
        <v>425</v>
      </c>
      <c r="I28" s="113" t="n">
        <f aca="false">SUM(I5:I27)</f>
        <v>173.08</v>
      </c>
      <c r="J28" s="113" t="n">
        <f aca="false">SUM(J5:J27)</f>
        <v>0</v>
      </c>
      <c r="K28" s="113" t="n">
        <f aca="false">SUM(K5:K27)</f>
        <v>0</v>
      </c>
      <c r="L28" s="113" t="n">
        <f aca="false">SUM(L5:L27)</f>
        <v>0</v>
      </c>
      <c r="M28" s="113" t="n">
        <f aca="false">SUM(M5:M27)</f>
        <v>0</v>
      </c>
      <c r="N28" s="113" t="n">
        <f aca="false">SUM(N5:N27)</f>
        <v>400</v>
      </c>
      <c r="O28" s="113" t="n">
        <f aca="false">SUM(O5:O27)</f>
        <v>1094</v>
      </c>
      <c r="P28" s="113" t="n">
        <f aca="false">SUM(P5:P27)</f>
        <v>1000</v>
      </c>
      <c r="Q28" s="113" t="n">
        <f aca="false">SUM(Q5:Q27)</f>
        <v>1000</v>
      </c>
      <c r="R28" s="113" t="n">
        <f aca="false">SUM(R5:R27)</f>
        <v>0</v>
      </c>
      <c r="S28" s="113" t="n">
        <f aca="false">SUM(S5:S27)</f>
        <v>45</v>
      </c>
      <c r="T28" s="42" t="n">
        <f aca="false">SUM(H28:S28)</f>
        <v>4137.08</v>
      </c>
      <c r="U28" s="9"/>
      <c r="V28" s="9"/>
      <c r="W28" s="9"/>
      <c r="X28" s="9"/>
      <c r="Y28" s="4"/>
      <c r="Z28" s="4"/>
      <c r="AA28" s="4"/>
      <c r="AB28" s="4"/>
    </row>
    <row r="30" customFormat="false" ht="162.75" hidden="false" customHeight="true" outlineLevel="0" collapsed="false">
      <c r="A30" s="114" t="inlineStr">
        <is>
          <t xml:space="preserve">Petty Cash custodian:                                                                                                                 
Name: Ifa Moosa Adam
Sign: 
Date: </t>
        </is>
      </c>
      <c r="B30" s="114"/>
      <c r="C30" s="114"/>
      <c r="D30" s="114"/>
      <c r="E30" s="115" t="s">
        <v>39</v>
      </c>
      <c r="F30" s="115"/>
      <c r="G30" s="115"/>
      <c r="H30" s="116" t="s">
        <v>40</v>
      </c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9"/>
      <c r="V30" s="9"/>
      <c r="W30" s="9"/>
      <c r="X30" s="117"/>
      <c r="Y30" s="4"/>
      <c r="Z30" s="4"/>
      <c r="AA30" s="4"/>
      <c r="AB30" s="4"/>
    </row>
    <row r="31" customFormat="false" ht="20.25" hidden="false" customHeight="true" outlineLevel="0" collapsed="false">
      <c r="A31" s="114"/>
      <c r="B31" s="114"/>
      <c r="C31" s="114"/>
      <c r="D31" s="114"/>
      <c r="E31" s="115"/>
      <c r="F31" s="115"/>
      <c r="G31" s="115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9"/>
      <c r="V31" s="9"/>
      <c r="W31" s="9"/>
      <c r="X31" s="117"/>
      <c r="Y31" s="4"/>
      <c r="Z31" s="4"/>
      <c r="AA31" s="4"/>
      <c r="AB31" s="4"/>
    </row>
    <row r="32" customFormat="false" ht="15" hidden="false" customHeight="true" outlineLevel="0" collapsed="false">
      <c r="A32" s="114"/>
      <c r="B32" s="114"/>
      <c r="C32" s="114"/>
      <c r="D32" s="114"/>
      <c r="E32" s="115"/>
      <c r="F32" s="115"/>
      <c r="G32" s="115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</row>
    <row r="33" customFormat="false" ht="2.25" hidden="false" customHeight="true" outlineLevel="0" collapsed="false">
      <c r="A33" s="114"/>
      <c r="B33" s="114"/>
      <c r="C33" s="114"/>
      <c r="D33" s="114"/>
      <c r="E33" s="115"/>
      <c r="F33" s="115"/>
      <c r="G33" s="115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</row>
    <row r="34" customFormat="false" ht="45" hidden="true" customHeight="true" outlineLevel="0" collapsed="false">
      <c r="A34" s="114"/>
      <c r="B34" s="114"/>
      <c r="C34" s="114"/>
      <c r="D34" s="114"/>
      <c r="E34" s="115"/>
      <c r="F34" s="115"/>
      <c r="G34" s="115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</row>
    <row r="35" customFormat="false" ht="15" hidden="false" customHeight="true" outlineLevel="0" collapsed="false">
      <c r="A35" s="114"/>
      <c r="B35" s="114"/>
      <c r="C35" s="114"/>
      <c r="D35" s="114"/>
      <c r="E35" s="115"/>
      <c r="F35" s="115"/>
      <c r="G35" s="115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</row>
    <row r="36" customFormat="false" ht="15" hidden="false" customHeight="true" outlineLevel="0" collapsed="false">
      <c r="A36" s="114"/>
      <c r="B36" s="114"/>
      <c r="C36" s="114"/>
      <c r="D36" s="114"/>
      <c r="E36" s="115"/>
      <c r="F36" s="115"/>
      <c r="G36" s="115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</row>
    <row r="37" customFormat="false" ht="15" hidden="false" customHeight="true" outlineLevel="0" collapsed="false">
      <c r="A37" s="114"/>
      <c r="B37" s="114"/>
      <c r="C37" s="114"/>
      <c r="D37" s="114"/>
      <c r="E37" s="115"/>
      <c r="F37" s="115"/>
      <c r="G37" s="115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</row>
    <row r="38" customFormat="false" ht="15" hidden="false" customHeight="true" outlineLevel="0" collapsed="false">
      <c r="A38" s="114"/>
      <c r="B38" s="114"/>
      <c r="C38" s="114"/>
      <c r="D38" s="114"/>
      <c r="E38" s="115"/>
      <c r="F38" s="115"/>
      <c r="G38" s="115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</row>
    <row r="39" customFormat="false" ht="15" hidden="false" customHeight="true" outlineLevel="0" collapsed="false">
      <c r="A39" s="114"/>
      <c r="B39" s="114"/>
      <c r="C39" s="114"/>
      <c r="D39" s="114"/>
      <c r="E39" s="115"/>
      <c r="F39" s="115"/>
      <c r="G39" s="115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</row>
    <row r="40" customFormat="false" ht="34.5" hidden="false" customHeight="true" outlineLevel="0" collapsed="false">
      <c r="A40" s="114"/>
      <c r="B40" s="114"/>
      <c r="C40" s="114"/>
      <c r="D40" s="114"/>
      <c r="E40" s="115"/>
      <c r="F40" s="115"/>
      <c r="G40" s="115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</row>
    <row r="41" customFormat="false" ht="15" hidden="false" customHeight="true" outlineLevel="0" collapsed="false">
      <c r="A41" s="114"/>
      <c r="B41" s="114"/>
      <c r="C41" s="114"/>
      <c r="D41" s="114"/>
      <c r="E41" s="115"/>
      <c r="F41" s="115"/>
      <c r="G41" s="115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</row>
    <row r="42" customFormat="false" ht="15" hidden="false" customHeight="true" outlineLevel="0" collapsed="false">
      <c r="A42" s="115" t="inlineStr">
        <is>
          <t xml:space="preserve">HOD:
Name: Fathimath Sama
Sign: 
Date: </t>
        </is>
      </c>
      <c r="B42" s="115"/>
      <c r="C42" s="115"/>
      <c r="D42" s="115"/>
      <c r="F42" s="118"/>
      <c r="G42" s="119"/>
      <c r="H42" s="119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20"/>
      <c r="T42" s="118"/>
    </row>
    <row r="43" customFormat="false" ht="15" hidden="false" customHeight="true" outlineLevel="0" collapsed="false">
      <c r="A43" s="115"/>
      <c r="B43" s="115"/>
      <c r="C43" s="115"/>
      <c r="D43" s="115"/>
      <c r="F43" s="118"/>
      <c r="G43" s="119"/>
      <c r="H43" s="119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</row>
    <row r="44" customFormat="false" ht="15" hidden="false" customHeight="true" outlineLevel="0" collapsed="false">
      <c r="A44" s="115"/>
      <c r="B44" s="115"/>
      <c r="C44" s="115"/>
      <c r="D44" s="115"/>
      <c r="F44" s="118"/>
      <c r="G44" s="119"/>
      <c r="H44" s="119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</row>
    <row r="45" customFormat="false" ht="15" hidden="false" customHeight="true" outlineLevel="0" collapsed="false">
      <c r="A45" s="115"/>
      <c r="B45" s="115"/>
      <c r="C45" s="115"/>
      <c r="D45" s="115"/>
      <c r="F45" s="118"/>
      <c r="G45" s="119"/>
      <c r="H45" s="119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</row>
    <row r="46" customFormat="false" ht="15" hidden="false" customHeight="true" outlineLevel="0" collapsed="false">
      <c r="A46" s="115"/>
      <c r="B46" s="115"/>
      <c r="C46" s="115"/>
      <c r="D46" s="115"/>
      <c r="F46" s="118"/>
      <c r="G46" s="119"/>
      <c r="H46" s="119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</row>
    <row r="47" customFormat="false" ht="15" hidden="false" customHeight="true" outlineLevel="0" collapsed="false">
      <c r="A47" s="115"/>
      <c r="B47" s="115"/>
      <c r="C47" s="115"/>
      <c r="D47" s="115"/>
      <c r="F47" s="118"/>
      <c r="G47" s="119"/>
      <c r="H47" s="119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</row>
    <row r="48" customFormat="false" ht="15" hidden="false" customHeight="true" outlineLevel="0" collapsed="false">
      <c r="A48" s="115"/>
      <c r="B48" s="115"/>
      <c r="C48" s="115"/>
      <c r="D48" s="115"/>
      <c r="F48" s="118"/>
      <c r="G48" s="119"/>
      <c r="H48" s="119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</row>
    <row r="49" customFormat="false" ht="26.25" hidden="false" customHeight="true" outlineLevel="0" collapsed="false">
      <c r="A49" s="115"/>
      <c r="B49" s="115"/>
      <c r="C49" s="115"/>
      <c r="D49" s="115"/>
      <c r="F49" s="118"/>
      <c r="G49" s="119"/>
      <c r="H49" s="119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</row>
    <row r="50" customFormat="false" ht="26.25" hidden="false" customHeight="true" outlineLevel="0" collapsed="false">
      <c r="A50" s="115"/>
      <c r="B50" s="115"/>
      <c r="C50" s="115"/>
      <c r="D50" s="115"/>
      <c r="F50" s="118"/>
      <c r="G50" s="119"/>
      <c r="H50" s="119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</row>
    <row r="51" customFormat="false" ht="26.25" hidden="false" customHeight="true" outlineLevel="0" collapsed="false">
      <c r="A51" s="115"/>
      <c r="B51" s="115"/>
      <c r="C51" s="115"/>
      <c r="D51" s="115"/>
      <c r="F51" s="118"/>
      <c r="G51" s="119"/>
      <c r="H51" s="119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</row>
    <row r="52" customFormat="false" ht="26.25" hidden="false" customHeight="true" outlineLevel="0" collapsed="false">
      <c r="A52" s="115"/>
      <c r="B52" s="115"/>
      <c r="C52" s="115"/>
      <c r="D52" s="115"/>
      <c r="F52" s="118"/>
      <c r="G52" s="119"/>
      <c r="H52" s="119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</row>
    <row r="53" customFormat="false" ht="26.25" hidden="false" customHeight="true" outlineLevel="0" collapsed="false">
      <c r="A53" s="115"/>
      <c r="B53" s="115"/>
      <c r="C53" s="115"/>
      <c r="D53" s="115"/>
      <c r="F53" s="118"/>
      <c r="G53" s="119"/>
      <c r="H53" s="119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</row>
    <row r="54" customFormat="false" ht="26.25" hidden="false" customHeight="true" outlineLevel="0" collapsed="false">
      <c r="A54" s="115"/>
      <c r="B54" s="115"/>
      <c r="C54" s="115"/>
      <c r="D54" s="115"/>
      <c r="F54" s="118"/>
      <c r="G54" s="119"/>
      <c r="H54" s="119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</row>
  </sheetData>
  <mergeCells count="15">
    <mergeCell ref="A1:T1"/>
    <mergeCell ref="V4:W4"/>
    <mergeCell ref="V5:W5"/>
    <mergeCell ref="V6:W6"/>
    <mergeCell ref="Z7:AA7"/>
    <mergeCell ref="V8:W8"/>
    <mergeCell ref="Z8:AA8"/>
    <mergeCell ref="V9:W9"/>
    <mergeCell ref="V10:W10"/>
    <mergeCell ref="V11:W11"/>
    <mergeCell ref="V27:W27"/>
    <mergeCell ref="A30:D41"/>
    <mergeCell ref="E30:G41"/>
    <mergeCell ref="H30:T41"/>
    <mergeCell ref="A42:D5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3cb41e-2431-473e-a2f1-28171c929999">
      <Terms xmlns="http://schemas.microsoft.com/office/infopath/2007/PartnerControls"/>
    </lcf76f155ced4ddcb4097134ff3c332f>
    <TaxCatchAll xmlns="6e6ea816-2caf-48ce-9b7d-92c6f4245514" xsi:nil="true"/>
    <SharedWithUsers xmlns="6e6ea816-2caf-48ce-9b7d-92c6f4245514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0B02FC0181E04787195B38F674B561" ma:contentTypeVersion="13" ma:contentTypeDescription="Create a new document." ma:contentTypeScope="" ma:versionID="a7e8908fce58e59ffe99981f13fb86ee">
  <xsd:schema xmlns:xsd="http://www.w3.org/2001/XMLSchema" xmlns:xs="http://www.w3.org/2001/XMLSchema" xmlns:p="http://schemas.microsoft.com/office/2006/metadata/properties" xmlns:ns2="6e6ea816-2caf-48ce-9b7d-92c6f4245514" xmlns:ns3="773cb41e-2431-473e-a2f1-28171c929999" targetNamespace="http://schemas.microsoft.com/office/2006/metadata/properties" ma:root="true" ma:fieldsID="134babe1bfbe855f264dd3aac7d14825" ns2:_="" ns3:_="">
    <xsd:import namespace="6e6ea816-2caf-48ce-9b7d-92c6f4245514"/>
    <xsd:import namespace="773cb41e-2431-473e-a2f1-28171c92999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ea816-2caf-48ce-9b7d-92c6f424551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b484ba34-7bcd-4d41-b712-bb88922131f0}" ma:internalName="TaxCatchAll" ma:showField="CatchAllData" ma:web="6e6ea816-2caf-48ce-9b7d-92c6f42455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3cb41e-2431-473e-a2f1-28171c9299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896199a-b1d7-4df4-be54-c337355fee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41B572-9D72-40F4-9006-33797227F04A}">
  <ds:schemaRefs>
    <ds:schemaRef ds:uri="http://schemas.microsoft.com/office/2006/metadata/properties"/>
    <ds:schemaRef ds:uri="http://schemas.microsoft.com/office/infopath/2007/PartnerControls"/>
    <ds:schemaRef ds:uri="773cb41e-2431-473e-a2f1-28171c929999"/>
    <ds:schemaRef ds:uri="6e6ea816-2caf-48ce-9b7d-92c6f4245514"/>
  </ds:schemaRefs>
</ds:datastoreItem>
</file>

<file path=customXml/itemProps2.xml><?xml version="1.0" encoding="utf-8"?>
<ds:datastoreItem xmlns:ds="http://schemas.openxmlformats.org/officeDocument/2006/customXml" ds:itemID="{4FEFDE9A-A508-4315-8852-373B6C3484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DD3DF2-E284-4281-A937-B7CD2ECCF1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6ea816-2caf-48ce-9b7d-92c6f4245514"/>
    <ds:schemaRef ds:uri="773cb41e-2431-473e-a2f1-28171c9299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2025-01-06T08:45:02Z</dcterms:created>
  <dc:creator>Ifa Moosa Adam</dc:creator>
  <dc:description/>
  <dc:language>en-US</dc:language>
  <cp:lastModifiedBy>Yoosuf Niyaz</cp:lastModifiedBy>
  <dcterms:modified xsi:type="dcterms:W3CDTF">2026-10-08T18:52:12Z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0x010100C00B02FC0181E04787195B38F674B561</vt:lpwstr>
  </property>
  <property fmtid="{D5CDD505-2E9C-101B-9397-08002B2CF9AE}" pid="4" name="MediaServiceImageTags">
    <vt:lpwstr/>
  </property>
  <property fmtid="{D5CDD505-2E9C-101B-9397-08002B2CF9AE}" pid="5" name="Order">
    <vt:r8>2755100</vt:r8>
  </property>
  <property fmtid="{D5CDD505-2E9C-101B-9397-08002B2CF9AE}" pid="6" name="TemplateUrl">
    <vt:lpwstr/>
  </property>
  <property fmtid="{D5CDD505-2E9C-101B-9397-08002B2CF9AE}" pid="7" name="TriggerFlowInfo">
    <vt:lpwstr/>
  </property>
  <property fmtid="{D5CDD505-2E9C-101B-9397-08002B2CF9AE}" pid="8" name="_ExtendedDescription">
    <vt:lpwstr/>
  </property>
  <property fmtid="{D5CDD505-2E9C-101B-9397-08002B2CF9AE}" pid="9" name="xd_ProgID">
    <vt:lpwstr/>
  </property>
  <property fmtid="{D5CDD505-2E9C-101B-9397-08002B2CF9AE}" pid="10" name="xd_Signature">
    <vt:bool>0</vt:bool>
  </property>
</Properties>
</file>